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1"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pavan/Downloads/"/>
    </mc:Choice>
  </mc:AlternateContent>
  <xr:revisionPtr revIDLastSave="0" documentId="13_ncr:1_{FAE609D7-BEA4-B04D-BB3C-1C24733D5E80}" xr6:coauthVersionLast="47" xr6:coauthVersionMax="47" xr10:uidLastSave="{00000000-0000-0000-0000-000000000000}"/>
  <bookViews>
    <workbookView xWindow="0" yWindow="660" windowWidth="29400" windowHeight="18460" xr2:uid="{CE7C6016-0442-4699-AE9F-5CF5ED083DB1}"/>
  </bookViews>
  <sheets>
    <sheet name="Dashboard" sheetId="5" r:id="rId1"/>
    <sheet name="Data" sheetId="1" r:id="rId2"/>
    <sheet name="Pivot" sheetId="4" r:id="rId3"/>
  </sheets>
  <definedNames>
    <definedName name="Slicer_Department">#N/A</definedName>
    <definedName name="Slicer_Month">#N/A</definedName>
  </definedNames>
  <calcPr calcId="191029"/>
  <pivotCaches>
    <pivotCache cacheId="133"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4" l="1"/>
  <c r="N56" i="4"/>
  <c r="M56" i="4"/>
  <c r="O55" i="4"/>
  <c r="N55" i="4"/>
  <c r="M55" i="4"/>
  <c r="O54" i="4"/>
  <c r="N54" i="4"/>
  <c r="M54" i="4"/>
  <c r="O53" i="4"/>
  <c r="N53" i="4"/>
  <c r="M53" i="4"/>
  <c r="O52" i="4"/>
  <c r="N52" i="4"/>
  <c r="M52" i="4"/>
  <c r="O51" i="4"/>
  <c r="N51" i="4"/>
  <c r="M51" i="4"/>
  <c r="K54" i="4"/>
  <c r="J54" i="4"/>
  <c r="K53" i="4"/>
  <c r="J53" i="4"/>
  <c r="K52" i="4"/>
  <c r="J52" i="4"/>
  <c r="K51" i="4"/>
  <c r="J51" i="4"/>
  <c r="H62" i="4"/>
  <c r="G62" i="4"/>
  <c r="H61" i="4"/>
  <c r="G61" i="4"/>
  <c r="H60" i="4"/>
  <c r="G60" i="4"/>
  <c r="H59" i="4"/>
  <c r="G59" i="4"/>
  <c r="H58" i="4"/>
  <c r="G58" i="4"/>
  <c r="H57" i="4"/>
  <c r="G57" i="4"/>
  <c r="H56" i="4"/>
  <c r="G56" i="4"/>
  <c r="H55" i="4"/>
  <c r="G55" i="4"/>
  <c r="H54" i="4"/>
  <c r="G54" i="4"/>
  <c r="H53" i="4"/>
  <c r="G53" i="4"/>
  <c r="H52" i="4"/>
  <c r="G52" i="4"/>
  <c r="H51" i="4"/>
  <c r="G51" i="4"/>
  <c r="E58" i="4"/>
  <c r="D58" i="4"/>
  <c r="E57" i="4"/>
  <c r="D57" i="4"/>
  <c r="E56" i="4"/>
  <c r="D56" i="4"/>
  <c r="E55" i="4"/>
  <c r="D55" i="4"/>
  <c r="E54" i="4"/>
  <c r="D54" i="4"/>
  <c r="E53" i="4"/>
  <c r="D53" i="4"/>
  <c r="E52" i="4"/>
  <c r="D52" i="4"/>
  <c r="E51" i="4"/>
  <c r="D51" i="4"/>
  <c r="B56" i="4"/>
  <c r="A56" i="4"/>
  <c r="B55" i="4"/>
  <c r="A55" i="4"/>
  <c r="B54" i="4"/>
  <c r="A54" i="4"/>
  <c r="B53" i="4"/>
  <c r="A53" i="4"/>
  <c r="B52" i="4"/>
  <c r="A52" i="4"/>
  <c r="B51" i="4"/>
  <c r="A51" i="4"/>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5"/>
  <c r="AF6" i="5" s="1"/>
  <c r="AF4" i="5"/>
  <c r="AF3" i="5"/>
  <c r="AF2" i="5"/>
  <c r="AF7" i="5" l="1"/>
</calcChain>
</file>

<file path=xl/sharedStrings.xml><?xml version="1.0" encoding="utf-8"?>
<sst xmlns="http://schemas.openxmlformats.org/spreadsheetml/2006/main" count="3406" uniqueCount="938">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</sst>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scheme val="minor"/>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74">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A634-1E4F-AF6A-56FF489C558D}"/>
            </c:ext>
          </c:extLst>
        </c:ser>
        <c:dLbls>
          <c:showLegendKey val="0"/>
          <c:showVal val="0"/>
          <c:showCatName val="0"/>
          <c:showSerName val="0"/>
          <c:showPercent val="0"/>
          <c:showBubbleSize val="0"/>
        </c:dLbls>
        <c:gapWidth val="150"/>
        <c:axId val="306635520"/>
        <c:axId val="306632384"/>
      </c:barChart>
      <c:catAx>
        <c:axId val="306635520"/>
        <c:scaling>
          <c:orientation val="minMax"/>
        </c:scaling>
        <c:delete val="0"/>
        <c:axPos val="b"/>
        <c:numFmt formatCode="General" sourceLinked="1"/>
        <c:majorTickMark val="out"/>
        <c:minorTickMark val="none"/>
        <c:tickLblPos val="nextTo"/>
        <c:spPr>
          <a:ln>
            <a:solidFill>
              <a:srgbClr val="D2D2D2"/>
            </a:solidFill>
          </a:ln>
        </c:spPr>
        <c:crossAx val="306632384"/>
        <c:crosses val="autoZero"/>
        <c:auto val="1"/>
        <c:lblAlgn val="ctr"/>
        <c:lblOffset val="100"/>
        <c:noMultiLvlLbl val="0"/>
      </c:catAx>
      <c:valAx>
        <c:axId val="30663238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6635520"/>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overlay val="0"/>
    </c:title>
    <c:autoTitleDeleted val="0"/>
    <c:plotArea>
      <c:layout>
        <c:manualLayout>
          <c:xMode val="edge"/>
          <c:yMode val="edge"/>
          <c:x val="3.7741155933845943E-2"/>
          <c:y val="0.1381881222867884"/>
          <c:w val="0.25556481395772218"/>
          <c:h val="0.74266667922919483"/>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7FE8-514D-BD11-C68EF8F4578A}"/>
              </c:ext>
            </c:extLst>
          </c:dPt>
          <c:dPt>
            <c:idx val="1"/>
            <c:bubble3D val="0"/>
            <c:spPr>
              <a:solidFill>
                <a:srgbClr val="84C637"/>
              </a:solidFill>
              <a:ln>
                <a:solidFill>
                  <a:srgbClr val="FFFFFF"/>
                </a:solidFill>
              </a:ln>
            </c:spPr>
            <c:extLst>
              <c:ext xmlns:c16="http://schemas.microsoft.com/office/drawing/2014/chart" uri="{C3380CC4-5D6E-409C-BE32-E72D297353CC}">
                <c16:uniqueId val="{00000002-7FE8-514D-BD11-C68EF8F4578A}"/>
              </c:ext>
            </c:extLst>
          </c:dPt>
          <c:dPt>
            <c:idx val="2"/>
            <c:bubble3D val="0"/>
            <c:spPr>
              <a:solidFill>
                <a:srgbClr val="5DB13A"/>
              </a:solidFill>
              <a:ln>
                <a:solidFill>
                  <a:srgbClr val="FFFFFF"/>
                </a:solidFill>
              </a:ln>
            </c:spPr>
            <c:extLst>
              <c:ext xmlns:c16="http://schemas.microsoft.com/office/drawing/2014/chart" uri="{C3380CC4-5D6E-409C-BE32-E72D297353CC}">
                <c16:uniqueId val="{00000003-7FE8-514D-BD11-C68EF8F4578A}"/>
              </c:ext>
            </c:extLst>
          </c:dPt>
          <c:dPt>
            <c:idx val="3"/>
            <c:bubble3D val="0"/>
            <c:spPr>
              <a:solidFill>
                <a:srgbClr val="168A96"/>
              </a:solidFill>
              <a:ln>
                <a:solidFill>
                  <a:srgbClr val="FFFFFF"/>
                </a:solidFill>
              </a:ln>
            </c:spPr>
            <c:extLst>
              <c:ext xmlns:c16="http://schemas.microsoft.com/office/drawing/2014/chart" uri="{C3380CC4-5D6E-409C-BE32-E72D297353CC}">
                <c16:uniqueId val="{00000004-7FE8-514D-BD11-C68EF8F4578A}"/>
              </c:ext>
            </c:extLst>
          </c:dPt>
          <c:dPt>
            <c:idx val="4"/>
            <c:bubble3D val="0"/>
            <c:spPr>
              <a:solidFill>
                <a:srgbClr val="7030A0"/>
              </a:solidFill>
              <a:ln>
                <a:solidFill>
                  <a:srgbClr val="FFFFFF"/>
                </a:solidFill>
              </a:ln>
            </c:spPr>
            <c:extLst>
              <c:ext xmlns:c16="http://schemas.microsoft.com/office/drawing/2014/chart" uri="{C3380CC4-5D6E-409C-BE32-E72D297353CC}">
                <c16:uniqueId val="{00000005-7FE8-514D-BD11-C68EF8F4578A}"/>
              </c:ext>
            </c:extLst>
          </c:dPt>
          <c:dPt>
            <c:idx val="5"/>
            <c:bubble3D val="0"/>
            <c:spPr>
              <a:solidFill>
                <a:srgbClr val="618724"/>
              </a:solidFill>
              <a:ln>
                <a:solidFill>
                  <a:srgbClr val="FFFFFF"/>
                </a:solidFill>
              </a:ln>
            </c:spPr>
            <c:extLst>
              <c:ext xmlns:c16="http://schemas.microsoft.com/office/drawing/2014/chart" uri="{C3380CC4-5D6E-409C-BE32-E72D297353CC}">
                <c16:uniqueId val="{00000006-7FE8-514D-BD11-C68EF8F4578A}"/>
              </c:ext>
            </c:extLst>
          </c:dPt>
          <c:dPt>
            <c:idx val="6"/>
            <c:bubble3D val="0"/>
            <c:spPr>
              <a:solidFill>
                <a:srgbClr val="91A0AA"/>
              </a:solidFill>
              <a:ln>
                <a:solidFill>
                  <a:srgbClr val="FFFFFF"/>
                </a:solidFill>
              </a:ln>
            </c:spPr>
            <c:extLst>
              <c:ext xmlns:c16="http://schemas.microsoft.com/office/drawing/2014/chart" uri="{C3380CC4-5D6E-409C-BE32-E72D297353CC}">
                <c16:uniqueId val="{00000007-7FE8-514D-BD11-C68EF8F4578A}"/>
              </c:ext>
            </c:extLst>
          </c:dPt>
          <c:dPt>
            <c:idx val="7"/>
            <c:bubble3D val="0"/>
            <c:spPr>
              <a:solidFill>
                <a:srgbClr val="ED7D31"/>
              </a:solidFill>
              <a:ln>
                <a:solidFill>
                  <a:srgbClr val="FFFFFF"/>
                </a:solidFill>
              </a:ln>
            </c:spPr>
            <c:extLst>
              <c:ext xmlns:c16="http://schemas.microsoft.com/office/drawing/2014/chart" uri="{C3380CC4-5D6E-409C-BE32-E72D297353CC}">
                <c16:uniqueId val="{00000008-7FE8-514D-BD11-C68EF8F4578A}"/>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7FE8-514D-BD11-C68EF8F4578A}"/>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8097003341616718"/>
          <c:y val="0.1477093957502538"/>
          <c:w val="0.42470444127173052"/>
          <c:h val="0.71196557239196034"/>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A3E5-FF4F-B6E4-F501019C925C}"/>
            </c:ext>
          </c:extLst>
        </c:ser>
        <c:dLbls>
          <c:showLegendKey val="0"/>
          <c:showVal val="0"/>
          <c:showCatName val="0"/>
          <c:showSerName val="0"/>
          <c:showPercent val="0"/>
          <c:showBubbleSize val="0"/>
        </c:dLbls>
        <c:marker val="1"/>
        <c:smooth val="0"/>
        <c:axId val="305307072"/>
        <c:axId val="305306176"/>
      </c:lineChart>
      <c:catAx>
        <c:axId val="305307072"/>
        <c:scaling>
          <c:orientation val="minMax"/>
        </c:scaling>
        <c:delete val="0"/>
        <c:axPos val="b"/>
        <c:numFmt formatCode="General" sourceLinked="1"/>
        <c:majorTickMark val="out"/>
        <c:minorTickMark val="none"/>
        <c:tickLblPos val="nextTo"/>
        <c:spPr>
          <a:ln>
            <a:solidFill>
              <a:srgbClr val="D2D2D2"/>
            </a:solidFill>
          </a:ln>
        </c:spPr>
        <c:crossAx val="305306176"/>
        <c:crosses val="autoZero"/>
        <c:auto val="1"/>
        <c:lblAlgn val="ctr"/>
        <c:lblOffset val="100"/>
        <c:noMultiLvlLbl val="0"/>
      </c:catAx>
      <c:valAx>
        <c:axId val="30530617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530707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0244-C245-966E-746B9B5AFC1C}"/>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0244-C245-966E-746B9B5AFC1C}"/>
            </c:ext>
          </c:extLst>
        </c:ser>
        <c:dLbls>
          <c:showLegendKey val="0"/>
          <c:showVal val="0"/>
          <c:showCatName val="0"/>
          <c:showSerName val="0"/>
          <c:showPercent val="0"/>
          <c:showBubbleSize val="0"/>
        </c:dLbls>
        <c:gapWidth val="150"/>
        <c:axId val="306295488"/>
        <c:axId val="305490880"/>
      </c:barChart>
      <c:catAx>
        <c:axId val="306295488"/>
        <c:scaling>
          <c:orientation val="minMax"/>
        </c:scaling>
        <c:delete val="0"/>
        <c:axPos val="b"/>
        <c:numFmt formatCode="General" sourceLinked="1"/>
        <c:majorTickMark val="out"/>
        <c:minorTickMark val="none"/>
        <c:tickLblPos val="nextTo"/>
        <c:spPr>
          <a:ln>
            <a:solidFill>
              <a:srgbClr val="D2D2D2"/>
            </a:solidFill>
          </a:ln>
        </c:spPr>
        <c:crossAx val="305490880"/>
        <c:crosses val="autoZero"/>
        <c:auto val="1"/>
        <c:lblAlgn val="ctr"/>
        <c:lblOffset val="100"/>
        <c:noMultiLvlLbl val="0"/>
      </c:catAx>
      <c:valAx>
        <c:axId val="305490880"/>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6295488"/>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E1E6-754D-8DA8-A9C73D629D07}"/>
            </c:ext>
          </c:extLst>
        </c:ser>
        <c:dLbls>
          <c:showLegendKey val="0"/>
          <c:showVal val="0"/>
          <c:showCatName val="0"/>
          <c:showSerName val="0"/>
          <c:showPercent val="0"/>
          <c:showBubbleSize val="0"/>
        </c:dLbls>
        <c:gapWidth val="70"/>
        <c:axId val="304908928"/>
        <c:axId val="304910720"/>
      </c:barChart>
      <c:catAx>
        <c:axId val="304908928"/>
        <c:scaling>
          <c:orientation val="minMax"/>
        </c:scaling>
        <c:delete val="0"/>
        <c:axPos val="l"/>
        <c:numFmt formatCode="General" sourceLinked="1"/>
        <c:majorTickMark val="out"/>
        <c:minorTickMark val="none"/>
        <c:tickLblPos val="nextTo"/>
        <c:spPr>
          <a:ln>
            <a:solidFill>
              <a:srgbClr val="D2D2D2"/>
            </a:solidFill>
          </a:ln>
        </c:spPr>
        <c:crossAx val="304910720"/>
        <c:crosses val="autoZero"/>
        <c:auto val="1"/>
        <c:lblAlgn val="ctr"/>
        <c:lblOffset val="100"/>
        <c:noMultiLvlLbl val="0"/>
      </c:catAx>
      <c:valAx>
        <c:axId val="304910720"/>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304908928"/>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AE75625B-B314-07A7-E7A5-9AF5760E0507}"/>
            </a:ext>
          </a:extLst>
        </xdr:cNvPr>
        <xdr:cNvSpPr/>
      </xdr:nvSpPr>
      <xdr:spPr>
        <a:xfrm>
          <a:off x="0" y="0"/>
          <a:ext cx="18669000" cy="83820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1</xdr:col>
      <xdr:colOff>63500</xdr:colOff>
      <xdr:row>2</xdr:row>
      <xdr:rowOff>127000</xdr:rowOff>
    </xdr:to>
    <xdr:sp macro="" textlink="">
      <xdr:nvSpPr>
        <xdr:cNvPr id="3" name="Oval 2">
          <a:extLst>
            <a:ext uri="{FF2B5EF4-FFF2-40B4-BE49-F238E27FC236}">
              <a16:creationId xmlns:a16="http://schemas.microsoft.com/office/drawing/2014/main" id="{125A2EF1-EC56-CCD0-0A0B-F8295792E517}"/>
            </a:ext>
          </a:extLst>
        </xdr:cNvPr>
        <xdr:cNvSpPr/>
      </xdr:nvSpPr>
      <xdr:spPr>
        <a:xfrm>
          <a:off x="152400" y="15240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165100</xdr:colOff>
      <xdr:row>0</xdr:row>
      <xdr:rowOff>0</xdr:rowOff>
    </xdr:from>
    <xdr:to>
      <xdr:col>25</xdr:col>
      <xdr:colOff>469900</xdr:colOff>
      <xdr:row>3</xdr:row>
      <xdr:rowOff>0</xdr:rowOff>
    </xdr:to>
    <xdr:sp macro="" textlink="">
      <xdr:nvSpPr>
        <xdr:cNvPr id="4" name="TextBox 3">
          <a:extLst>
            <a:ext uri="{FF2B5EF4-FFF2-40B4-BE49-F238E27FC236}">
              <a16:creationId xmlns:a16="http://schemas.microsoft.com/office/drawing/2014/main" id="{A904CA91-D6A4-5078-AEC1-93C185CD898F}"/>
            </a:ext>
          </a:extLst>
        </xdr:cNvPr>
        <xdr:cNvSpPr txBox="1"/>
      </xdr:nvSpPr>
      <xdr:spPr>
        <a:xfrm>
          <a:off x="787400" y="0"/>
          <a:ext cx="15240000" cy="838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p>
      </xdr:txBody>
    </xdr:sp>
    <xdr:clientData/>
  </xdr:twoCellAnchor>
  <xdr:twoCellAnchor>
    <xdr:from>
      <xdr:col>25</xdr:col>
      <xdr:colOff>571500</xdr:colOff>
      <xdr:row>0</xdr:row>
      <xdr:rowOff>50800</xdr:rowOff>
    </xdr:from>
    <xdr:to>
      <xdr:col>29</xdr:col>
      <xdr:colOff>495300</xdr:colOff>
      <xdr:row>2</xdr:row>
      <xdr:rowOff>228600</xdr:rowOff>
    </xdr:to>
    <xdr:sp macro="" textlink="">
      <xdr:nvSpPr>
        <xdr:cNvPr id="5" name="TextBox 4">
          <a:extLst>
            <a:ext uri="{FF2B5EF4-FFF2-40B4-BE49-F238E27FC236}">
              <a16:creationId xmlns:a16="http://schemas.microsoft.com/office/drawing/2014/main" id="{A2239614-2CB2-46D3-0234-D2229000DD89}"/>
            </a:ext>
          </a:extLst>
        </xdr:cNvPr>
        <xdr:cNvSpPr txBox="1"/>
      </xdr:nvSpPr>
      <xdr:spPr>
        <a:xfrm>
          <a:off x="16129000" y="50800"/>
          <a:ext cx="2413000" cy="736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
</a:t>
          </a:r>
        </a:p>
        <a:p>
          <a:pPr algn="ctr"/>
          <a:r>
            <a:rPr lang="en-US" sz="1800" b="1">
              <a:solidFill>
                <a:srgbClr val="FFFFFF"/>
              </a:solidFill>
            </a:rPr>
            <a:t>Jun 26,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ounded Rectangle 5">
          <a:extLst>
            <a:ext uri="{FF2B5EF4-FFF2-40B4-BE49-F238E27FC236}">
              <a16:creationId xmlns:a16="http://schemas.microsoft.com/office/drawing/2014/main" id="{8A0FF9ED-0E0A-576A-9652-C2C45DFBCBEA}"/>
            </a:ext>
          </a:extLst>
        </xdr:cNvPr>
        <xdr:cNvSpPr/>
      </xdr:nvSpPr>
      <xdr:spPr>
        <a:xfrm>
          <a:off x="0" y="1066800"/>
          <a:ext cx="31115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0</xdr:col>
      <xdr:colOff>609600</xdr:colOff>
      <xdr:row>7</xdr:row>
      <xdr:rowOff>0</xdr:rowOff>
    </xdr:to>
    <xdr:sp macro="" textlink="">
      <xdr:nvSpPr>
        <xdr:cNvPr id="7" name="Oval 6">
          <a:extLst>
            <a:ext uri="{FF2B5EF4-FFF2-40B4-BE49-F238E27FC236}">
              <a16:creationId xmlns:a16="http://schemas.microsoft.com/office/drawing/2014/main" id="{4FA4BDF0-D43F-C6BF-A070-A4B598771449}"/>
            </a:ext>
          </a:extLst>
        </xdr:cNvPr>
        <xdr:cNvSpPr/>
      </xdr:nvSpPr>
      <xdr:spPr>
        <a:xfrm>
          <a:off x="127000" y="127000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63500</xdr:colOff>
      <xdr:row>4</xdr:row>
      <xdr:rowOff>101600</xdr:rowOff>
    </xdr:from>
    <xdr:to>
      <xdr:col>4</xdr:col>
      <xdr:colOff>571500</xdr:colOff>
      <xdr:row>5</xdr:row>
      <xdr:rowOff>152400</xdr:rowOff>
    </xdr:to>
    <xdr:sp macro="" textlink="">
      <xdr:nvSpPr>
        <xdr:cNvPr id="8" name="TextBox 7">
          <a:extLst>
            <a:ext uri="{FF2B5EF4-FFF2-40B4-BE49-F238E27FC236}">
              <a16:creationId xmlns:a16="http://schemas.microsoft.com/office/drawing/2014/main" id="{E5AF9044-7AF8-D1A9-8B81-3B6FFAD45E47}"/>
            </a:ext>
          </a:extLst>
        </xdr:cNvPr>
        <xdr:cNvSpPr txBox="1"/>
      </xdr:nvSpPr>
      <xdr:spPr>
        <a:xfrm>
          <a:off x="685800" y="1168400"/>
          <a:ext cx="23749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63500</xdr:colOff>
      <xdr:row>5</xdr:row>
      <xdr:rowOff>139700</xdr:rowOff>
    </xdr:from>
    <xdr:to>
      <xdr:col>4</xdr:col>
      <xdr:colOff>571500</xdr:colOff>
      <xdr:row>7</xdr:row>
      <xdr:rowOff>114300</xdr:rowOff>
    </xdr:to>
    <xdr:sp macro="" textlink="Dashboard!$AF$2">
      <xdr:nvSpPr>
        <xdr:cNvPr id="9" name="TextBox 8">
          <a:extLst>
            <a:ext uri="{FF2B5EF4-FFF2-40B4-BE49-F238E27FC236}">
              <a16:creationId xmlns:a16="http://schemas.microsoft.com/office/drawing/2014/main" id="{7A66C9DB-0A20-EA05-DABB-2BB94E73DB0D}"/>
            </a:ext>
          </a:extLst>
        </xdr:cNvPr>
        <xdr:cNvSpPr txBox="1"/>
      </xdr:nvSpPr>
      <xdr:spPr>
        <a:xfrm>
          <a:off x="685800" y="1435100"/>
          <a:ext cx="23749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BB71EFB-25B5-094B-AA82-417DC6A8F1C7}" type="TxLink">
            <a:rPr lang="en-US" sz="2800" b="1" i="0" u="none" strike="noStrike">
              <a:solidFill>
                <a:srgbClr val="054A19"/>
              </a:solidFill>
              <a:latin typeface="Aptos"/>
            </a:rPr>
            <a:t>18,405K</a:t>
          </a:fld>
          <a:endParaRPr lang="en-US" sz="2800" b="1">
            <a:solidFill>
              <a:srgbClr val="054A19"/>
            </a:solidFill>
          </a:endParaRPr>
        </a:p>
      </xdr:txBody>
    </xdr:sp>
    <xdr:clientData/>
  </xdr:twoCellAnchor>
  <xdr:twoCellAnchor>
    <xdr:from>
      <xdr:col>1</xdr:col>
      <xdr:colOff>63500</xdr:colOff>
      <xdr:row>7</xdr:row>
      <xdr:rowOff>50800</xdr:rowOff>
    </xdr:from>
    <xdr:to>
      <xdr:col>4</xdr:col>
      <xdr:colOff>571500</xdr:colOff>
      <xdr:row>7</xdr:row>
      <xdr:rowOff>215900</xdr:rowOff>
    </xdr:to>
    <xdr:sp macro="" textlink="">
      <xdr:nvSpPr>
        <xdr:cNvPr id="10" name="TextBox 9">
          <a:extLst>
            <a:ext uri="{FF2B5EF4-FFF2-40B4-BE49-F238E27FC236}">
              <a16:creationId xmlns:a16="http://schemas.microsoft.com/office/drawing/2014/main" id="{6552FD89-1DB9-B79C-11CE-154CF3349D54}"/>
            </a:ext>
          </a:extLst>
        </xdr:cNvPr>
        <xdr:cNvSpPr txBox="1"/>
      </xdr:nvSpPr>
      <xdr:spPr>
        <a:xfrm>
          <a:off x="685800" y="1803400"/>
          <a:ext cx="23749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ounded Rectangle 10">
          <a:extLst>
            <a:ext uri="{FF2B5EF4-FFF2-40B4-BE49-F238E27FC236}">
              <a16:creationId xmlns:a16="http://schemas.microsoft.com/office/drawing/2014/main" id="{ED5EF90C-8036-E8B2-15BA-2C3F626189F7}"/>
            </a:ext>
          </a:extLst>
        </xdr:cNvPr>
        <xdr:cNvSpPr/>
      </xdr:nvSpPr>
      <xdr:spPr>
        <a:xfrm>
          <a:off x="3111500" y="1066800"/>
          <a:ext cx="31115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5</xdr:col>
      <xdr:colOff>609600</xdr:colOff>
      <xdr:row>7</xdr:row>
      <xdr:rowOff>0</xdr:rowOff>
    </xdr:to>
    <xdr:sp macro="" textlink="">
      <xdr:nvSpPr>
        <xdr:cNvPr id="12" name="Oval 11">
          <a:extLst>
            <a:ext uri="{FF2B5EF4-FFF2-40B4-BE49-F238E27FC236}">
              <a16:creationId xmlns:a16="http://schemas.microsoft.com/office/drawing/2014/main" id="{69E9B2E9-C5A1-B889-C711-208A7C88F5C0}"/>
            </a:ext>
          </a:extLst>
        </xdr:cNvPr>
        <xdr:cNvSpPr/>
      </xdr:nvSpPr>
      <xdr:spPr>
        <a:xfrm>
          <a:off x="3238500" y="127000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63500</xdr:colOff>
      <xdr:row>4</xdr:row>
      <xdr:rowOff>101600</xdr:rowOff>
    </xdr:from>
    <xdr:to>
      <xdr:col>9</xdr:col>
      <xdr:colOff>571500</xdr:colOff>
      <xdr:row>5</xdr:row>
      <xdr:rowOff>152400</xdr:rowOff>
    </xdr:to>
    <xdr:sp macro="" textlink="">
      <xdr:nvSpPr>
        <xdr:cNvPr id="13" name="TextBox 12">
          <a:extLst>
            <a:ext uri="{FF2B5EF4-FFF2-40B4-BE49-F238E27FC236}">
              <a16:creationId xmlns:a16="http://schemas.microsoft.com/office/drawing/2014/main" id="{B771E0EA-3755-F90A-140C-3ADD8996ADC9}"/>
            </a:ext>
          </a:extLst>
        </xdr:cNvPr>
        <xdr:cNvSpPr txBox="1"/>
      </xdr:nvSpPr>
      <xdr:spPr>
        <a:xfrm>
          <a:off x="3797300" y="1168400"/>
          <a:ext cx="23749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63500</xdr:colOff>
      <xdr:row>5</xdr:row>
      <xdr:rowOff>139700</xdr:rowOff>
    </xdr:from>
    <xdr:to>
      <xdr:col>9</xdr:col>
      <xdr:colOff>571500</xdr:colOff>
      <xdr:row>7</xdr:row>
      <xdr:rowOff>114300</xdr:rowOff>
    </xdr:to>
    <xdr:sp macro="" textlink="Dashboard!$AF$3">
      <xdr:nvSpPr>
        <xdr:cNvPr id="14" name="TextBox 13">
          <a:extLst>
            <a:ext uri="{FF2B5EF4-FFF2-40B4-BE49-F238E27FC236}">
              <a16:creationId xmlns:a16="http://schemas.microsoft.com/office/drawing/2014/main" id="{B17DD6F0-A4BE-96CC-44E1-6A5A51DDFDDE}"/>
            </a:ext>
          </a:extLst>
        </xdr:cNvPr>
        <xdr:cNvSpPr txBox="1"/>
      </xdr:nvSpPr>
      <xdr:spPr>
        <a:xfrm>
          <a:off x="3797300" y="1435100"/>
          <a:ext cx="23749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63FB43E-B944-4449-8DBE-0D30AE4D7946}" type="TxLink">
            <a:rPr lang="en-US" sz="2800" b="1" i="0" u="none" strike="noStrike">
              <a:solidFill>
                <a:srgbClr val="054A19"/>
              </a:solidFill>
              <a:latin typeface="Aptos"/>
            </a:rPr>
            <a:t>22,954K</a:t>
          </a:fld>
          <a:endParaRPr lang="en-US" sz="2800" b="1">
            <a:solidFill>
              <a:srgbClr val="054A19"/>
            </a:solidFill>
          </a:endParaRPr>
        </a:p>
      </xdr:txBody>
    </xdr:sp>
    <xdr:clientData/>
  </xdr:twoCellAnchor>
  <xdr:twoCellAnchor>
    <xdr:from>
      <xdr:col>6</xdr:col>
      <xdr:colOff>63500</xdr:colOff>
      <xdr:row>7</xdr:row>
      <xdr:rowOff>50800</xdr:rowOff>
    </xdr:from>
    <xdr:to>
      <xdr:col>9</xdr:col>
      <xdr:colOff>571500</xdr:colOff>
      <xdr:row>7</xdr:row>
      <xdr:rowOff>215900</xdr:rowOff>
    </xdr:to>
    <xdr:sp macro="" textlink="">
      <xdr:nvSpPr>
        <xdr:cNvPr id="15" name="TextBox 14">
          <a:extLst>
            <a:ext uri="{FF2B5EF4-FFF2-40B4-BE49-F238E27FC236}">
              <a16:creationId xmlns:a16="http://schemas.microsoft.com/office/drawing/2014/main" id="{DC315369-F8FD-3DC0-789D-183F54FBCB0A}"/>
            </a:ext>
          </a:extLst>
        </xdr:cNvPr>
        <xdr:cNvSpPr txBox="1"/>
      </xdr:nvSpPr>
      <xdr:spPr>
        <a:xfrm>
          <a:off x="3797300" y="1803400"/>
          <a:ext cx="23749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ounded Rectangle 15">
          <a:extLst>
            <a:ext uri="{FF2B5EF4-FFF2-40B4-BE49-F238E27FC236}">
              <a16:creationId xmlns:a16="http://schemas.microsoft.com/office/drawing/2014/main" id="{6ECD2490-B40B-680D-D28D-7D99126CF0B5}"/>
            </a:ext>
          </a:extLst>
        </xdr:cNvPr>
        <xdr:cNvSpPr/>
      </xdr:nvSpPr>
      <xdr:spPr>
        <a:xfrm>
          <a:off x="6223000" y="1066800"/>
          <a:ext cx="31115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10</xdr:col>
      <xdr:colOff>609600</xdr:colOff>
      <xdr:row>7</xdr:row>
      <xdr:rowOff>0</xdr:rowOff>
    </xdr:to>
    <xdr:sp macro="" textlink="">
      <xdr:nvSpPr>
        <xdr:cNvPr id="17" name="Oval 16">
          <a:extLst>
            <a:ext uri="{FF2B5EF4-FFF2-40B4-BE49-F238E27FC236}">
              <a16:creationId xmlns:a16="http://schemas.microsoft.com/office/drawing/2014/main" id="{704E278F-4A75-0264-A875-9CF490BD61E3}"/>
            </a:ext>
          </a:extLst>
        </xdr:cNvPr>
        <xdr:cNvSpPr/>
      </xdr:nvSpPr>
      <xdr:spPr>
        <a:xfrm>
          <a:off x="6350000" y="127000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63500</xdr:colOff>
      <xdr:row>4</xdr:row>
      <xdr:rowOff>101600</xdr:rowOff>
    </xdr:from>
    <xdr:to>
      <xdr:col>14</xdr:col>
      <xdr:colOff>571500</xdr:colOff>
      <xdr:row>5</xdr:row>
      <xdr:rowOff>152400</xdr:rowOff>
    </xdr:to>
    <xdr:sp macro="" textlink="">
      <xdr:nvSpPr>
        <xdr:cNvPr id="18" name="TextBox 17">
          <a:extLst>
            <a:ext uri="{FF2B5EF4-FFF2-40B4-BE49-F238E27FC236}">
              <a16:creationId xmlns:a16="http://schemas.microsoft.com/office/drawing/2014/main" id="{6EC5D370-683C-38A7-94E2-BB7F12ADE1A5}"/>
            </a:ext>
          </a:extLst>
        </xdr:cNvPr>
        <xdr:cNvSpPr txBox="1"/>
      </xdr:nvSpPr>
      <xdr:spPr>
        <a:xfrm>
          <a:off x="6908800" y="1168400"/>
          <a:ext cx="23749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63500</xdr:colOff>
      <xdr:row>5</xdr:row>
      <xdr:rowOff>139700</xdr:rowOff>
    </xdr:from>
    <xdr:to>
      <xdr:col>14</xdr:col>
      <xdr:colOff>571500</xdr:colOff>
      <xdr:row>7</xdr:row>
      <xdr:rowOff>114300</xdr:rowOff>
    </xdr:to>
    <xdr:sp macro="" textlink="Dashboard!$AF$4">
      <xdr:nvSpPr>
        <xdr:cNvPr id="19" name="TextBox 18">
          <a:extLst>
            <a:ext uri="{FF2B5EF4-FFF2-40B4-BE49-F238E27FC236}">
              <a16:creationId xmlns:a16="http://schemas.microsoft.com/office/drawing/2014/main" id="{9FA29A30-B968-5E19-735B-0E6CD6A4E8BF}"/>
            </a:ext>
          </a:extLst>
        </xdr:cNvPr>
        <xdr:cNvSpPr txBox="1"/>
      </xdr:nvSpPr>
      <xdr:spPr>
        <a:xfrm>
          <a:off x="6908800" y="1435100"/>
          <a:ext cx="23749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67B96C1-1E71-2D41-940A-CF6DCDDDF755}" type="TxLink">
            <a:rPr lang="en-US" sz="2800" b="1" i="0" u="none" strike="noStrike">
              <a:solidFill>
                <a:srgbClr val="054A19"/>
              </a:solidFill>
              <a:latin typeface="Aptos"/>
            </a:rPr>
            <a:t>4,549K</a:t>
          </a:fld>
          <a:endParaRPr lang="en-US" sz="2800" b="1">
            <a:solidFill>
              <a:srgbClr val="054A19"/>
            </a:solidFill>
          </a:endParaRPr>
        </a:p>
      </xdr:txBody>
    </xdr:sp>
    <xdr:clientData/>
  </xdr:twoCellAnchor>
  <xdr:twoCellAnchor>
    <xdr:from>
      <xdr:col>11</xdr:col>
      <xdr:colOff>63500</xdr:colOff>
      <xdr:row>7</xdr:row>
      <xdr:rowOff>50800</xdr:rowOff>
    </xdr:from>
    <xdr:to>
      <xdr:col>14</xdr:col>
      <xdr:colOff>571500</xdr:colOff>
      <xdr:row>7</xdr:row>
      <xdr:rowOff>215900</xdr:rowOff>
    </xdr:to>
    <xdr:sp macro="" textlink="">
      <xdr:nvSpPr>
        <xdr:cNvPr id="20" name="TextBox 19">
          <a:extLst>
            <a:ext uri="{FF2B5EF4-FFF2-40B4-BE49-F238E27FC236}">
              <a16:creationId xmlns:a16="http://schemas.microsoft.com/office/drawing/2014/main" id="{8F24808B-4AB1-9E2E-4370-66D3241F2C54}"/>
            </a:ext>
          </a:extLst>
        </xdr:cNvPr>
        <xdr:cNvSpPr txBox="1"/>
      </xdr:nvSpPr>
      <xdr:spPr>
        <a:xfrm>
          <a:off x="6908800" y="1803400"/>
          <a:ext cx="23749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ounded Rectangle 20">
          <a:extLst>
            <a:ext uri="{FF2B5EF4-FFF2-40B4-BE49-F238E27FC236}">
              <a16:creationId xmlns:a16="http://schemas.microsoft.com/office/drawing/2014/main" id="{3B3C13BF-7F98-CD42-0E10-211699889D03}"/>
            </a:ext>
          </a:extLst>
        </xdr:cNvPr>
        <xdr:cNvSpPr/>
      </xdr:nvSpPr>
      <xdr:spPr>
        <a:xfrm>
          <a:off x="9334500" y="1066800"/>
          <a:ext cx="31115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15</xdr:col>
      <xdr:colOff>609600</xdr:colOff>
      <xdr:row>7</xdr:row>
      <xdr:rowOff>0</xdr:rowOff>
    </xdr:to>
    <xdr:sp macro="" textlink="">
      <xdr:nvSpPr>
        <xdr:cNvPr id="22" name="Oval 21">
          <a:extLst>
            <a:ext uri="{FF2B5EF4-FFF2-40B4-BE49-F238E27FC236}">
              <a16:creationId xmlns:a16="http://schemas.microsoft.com/office/drawing/2014/main" id="{F7E6D596-9818-77C8-9D85-D6D7234BD081}"/>
            </a:ext>
          </a:extLst>
        </xdr:cNvPr>
        <xdr:cNvSpPr/>
      </xdr:nvSpPr>
      <xdr:spPr>
        <a:xfrm>
          <a:off x="9461500" y="127000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63500</xdr:colOff>
      <xdr:row>4</xdr:row>
      <xdr:rowOff>101600</xdr:rowOff>
    </xdr:from>
    <xdr:to>
      <xdr:col>19</xdr:col>
      <xdr:colOff>571500</xdr:colOff>
      <xdr:row>5</xdr:row>
      <xdr:rowOff>152400</xdr:rowOff>
    </xdr:to>
    <xdr:sp macro="" textlink="">
      <xdr:nvSpPr>
        <xdr:cNvPr id="23" name="TextBox 22">
          <a:extLst>
            <a:ext uri="{FF2B5EF4-FFF2-40B4-BE49-F238E27FC236}">
              <a16:creationId xmlns:a16="http://schemas.microsoft.com/office/drawing/2014/main" id="{48A95196-CDD3-4727-EEE0-9E63F482D518}"/>
            </a:ext>
          </a:extLst>
        </xdr:cNvPr>
        <xdr:cNvSpPr txBox="1"/>
      </xdr:nvSpPr>
      <xdr:spPr>
        <a:xfrm>
          <a:off x="10020300" y="1168400"/>
          <a:ext cx="23749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63500</xdr:colOff>
      <xdr:row>5</xdr:row>
      <xdr:rowOff>139700</xdr:rowOff>
    </xdr:from>
    <xdr:to>
      <xdr:col>19</xdr:col>
      <xdr:colOff>571500</xdr:colOff>
      <xdr:row>7</xdr:row>
      <xdr:rowOff>114300</xdr:rowOff>
    </xdr:to>
    <xdr:sp macro="" textlink="Dashboard!$AF$5">
      <xdr:nvSpPr>
        <xdr:cNvPr id="24" name="TextBox 23">
          <a:extLst>
            <a:ext uri="{FF2B5EF4-FFF2-40B4-BE49-F238E27FC236}">
              <a16:creationId xmlns:a16="http://schemas.microsoft.com/office/drawing/2014/main" id="{D47A0815-5A6F-D29B-ACFC-0B3B6D3FF2D4}"/>
            </a:ext>
          </a:extLst>
        </xdr:cNvPr>
        <xdr:cNvSpPr txBox="1"/>
      </xdr:nvSpPr>
      <xdr:spPr>
        <a:xfrm>
          <a:off x="10020300" y="1435100"/>
          <a:ext cx="23749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E95B02DC-2B3B-224C-A86E-B5A29540D6AB}" type="TxLink">
            <a:rPr lang="en-US" sz="2800" b="1" i="0" u="none" strike="noStrike">
              <a:solidFill>
                <a:srgbClr val="054A19"/>
              </a:solidFill>
              <a:latin typeface="Aptos"/>
            </a:rPr>
            <a:t>415</a:t>
          </a:fld>
          <a:endParaRPr lang="en-US" sz="2800" b="1">
            <a:solidFill>
              <a:srgbClr val="054A19"/>
            </a:solidFill>
          </a:endParaRPr>
        </a:p>
      </xdr:txBody>
    </xdr:sp>
    <xdr:clientData/>
  </xdr:twoCellAnchor>
  <xdr:twoCellAnchor>
    <xdr:from>
      <xdr:col>16</xdr:col>
      <xdr:colOff>63500</xdr:colOff>
      <xdr:row>7</xdr:row>
      <xdr:rowOff>50800</xdr:rowOff>
    </xdr:from>
    <xdr:to>
      <xdr:col>19</xdr:col>
      <xdr:colOff>571500</xdr:colOff>
      <xdr:row>7</xdr:row>
      <xdr:rowOff>215900</xdr:rowOff>
    </xdr:to>
    <xdr:sp macro="" textlink="">
      <xdr:nvSpPr>
        <xdr:cNvPr id="25" name="TextBox 24">
          <a:extLst>
            <a:ext uri="{FF2B5EF4-FFF2-40B4-BE49-F238E27FC236}">
              <a16:creationId xmlns:a16="http://schemas.microsoft.com/office/drawing/2014/main" id="{E9F2F00F-361C-0F9A-FB0C-D0C9AED30B5A}"/>
            </a:ext>
          </a:extLst>
        </xdr:cNvPr>
        <xdr:cNvSpPr txBox="1"/>
      </xdr:nvSpPr>
      <xdr:spPr>
        <a:xfrm>
          <a:off x="10020300" y="1803400"/>
          <a:ext cx="23749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ounded Rectangle 25">
          <a:extLst>
            <a:ext uri="{FF2B5EF4-FFF2-40B4-BE49-F238E27FC236}">
              <a16:creationId xmlns:a16="http://schemas.microsoft.com/office/drawing/2014/main" id="{686429B7-996A-BFAC-640F-D314D267CDC5}"/>
            </a:ext>
          </a:extLst>
        </xdr:cNvPr>
        <xdr:cNvSpPr/>
      </xdr:nvSpPr>
      <xdr:spPr>
        <a:xfrm>
          <a:off x="12446000" y="1066800"/>
          <a:ext cx="31115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20</xdr:col>
      <xdr:colOff>609600</xdr:colOff>
      <xdr:row>7</xdr:row>
      <xdr:rowOff>0</xdr:rowOff>
    </xdr:to>
    <xdr:sp macro="" textlink="">
      <xdr:nvSpPr>
        <xdr:cNvPr id="27" name="Oval 26">
          <a:extLst>
            <a:ext uri="{FF2B5EF4-FFF2-40B4-BE49-F238E27FC236}">
              <a16:creationId xmlns:a16="http://schemas.microsoft.com/office/drawing/2014/main" id="{A2BA7FC2-2078-A8F5-2863-07B34A5F8877}"/>
            </a:ext>
          </a:extLst>
        </xdr:cNvPr>
        <xdr:cNvSpPr/>
      </xdr:nvSpPr>
      <xdr:spPr>
        <a:xfrm>
          <a:off x="12573000" y="127000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63500</xdr:colOff>
      <xdr:row>4</xdr:row>
      <xdr:rowOff>101600</xdr:rowOff>
    </xdr:from>
    <xdr:to>
      <xdr:col>24</xdr:col>
      <xdr:colOff>571500</xdr:colOff>
      <xdr:row>5</xdr:row>
      <xdr:rowOff>152400</xdr:rowOff>
    </xdr:to>
    <xdr:sp macro="" textlink="">
      <xdr:nvSpPr>
        <xdr:cNvPr id="28" name="TextBox 27">
          <a:extLst>
            <a:ext uri="{FF2B5EF4-FFF2-40B4-BE49-F238E27FC236}">
              <a16:creationId xmlns:a16="http://schemas.microsoft.com/office/drawing/2014/main" id="{602A90C4-1146-4803-0309-550476817E3F}"/>
            </a:ext>
          </a:extLst>
        </xdr:cNvPr>
        <xdr:cNvSpPr txBox="1"/>
      </xdr:nvSpPr>
      <xdr:spPr>
        <a:xfrm>
          <a:off x="13131800" y="1168400"/>
          <a:ext cx="23749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63500</xdr:colOff>
      <xdr:row>5</xdr:row>
      <xdr:rowOff>139700</xdr:rowOff>
    </xdr:from>
    <xdr:to>
      <xdr:col>24</xdr:col>
      <xdr:colOff>571500</xdr:colOff>
      <xdr:row>7</xdr:row>
      <xdr:rowOff>114300</xdr:rowOff>
    </xdr:to>
    <xdr:sp macro="" textlink="Dashboard!$AF$6">
      <xdr:nvSpPr>
        <xdr:cNvPr id="29" name="TextBox 28">
          <a:extLst>
            <a:ext uri="{FF2B5EF4-FFF2-40B4-BE49-F238E27FC236}">
              <a16:creationId xmlns:a16="http://schemas.microsoft.com/office/drawing/2014/main" id="{081C2472-2972-E49F-2D13-97F647F4C88D}"/>
            </a:ext>
          </a:extLst>
        </xdr:cNvPr>
        <xdr:cNvSpPr txBox="1"/>
      </xdr:nvSpPr>
      <xdr:spPr>
        <a:xfrm>
          <a:off x="13131800" y="1435100"/>
          <a:ext cx="23749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1346CF3-62BC-EF45-A951-74E575941EF8}" type="TxLink">
            <a:rPr lang="en-US" sz="2800" b="1" i="0" u="none" strike="noStrike">
              <a:solidFill>
                <a:srgbClr val="054A19"/>
              </a:solidFill>
              <a:latin typeface="Aptos"/>
            </a:rPr>
            <a:t>81.4%</a:t>
          </a:fld>
          <a:endParaRPr lang="en-US" sz="2800" b="1">
            <a:solidFill>
              <a:srgbClr val="054A19"/>
            </a:solidFill>
          </a:endParaRPr>
        </a:p>
      </xdr:txBody>
    </xdr:sp>
    <xdr:clientData/>
  </xdr:twoCellAnchor>
  <xdr:twoCellAnchor>
    <xdr:from>
      <xdr:col>21</xdr:col>
      <xdr:colOff>63500</xdr:colOff>
      <xdr:row>7</xdr:row>
      <xdr:rowOff>50800</xdr:rowOff>
    </xdr:from>
    <xdr:to>
      <xdr:col>24</xdr:col>
      <xdr:colOff>571500</xdr:colOff>
      <xdr:row>7</xdr:row>
      <xdr:rowOff>215900</xdr:rowOff>
    </xdr:to>
    <xdr:sp macro="" textlink="">
      <xdr:nvSpPr>
        <xdr:cNvPr id="30" name="TextBox 29">
          <a:extLst>
            <a:ext uri="{FF2B5EF4-FFF2-40B4-BE49-F238E27FC236}">
              <a16:creationId xmlns:a16="http://schemas.microsoft.com/office/drawing/2014/main" id="{2A630C76-2419-5B19-7948-3F187B23ED3A}"/>
            </a:ext>
          </a:extLst>
        </xdr:cNvPr>
        <xdr:cNvSpPr txBox="1"/>
      </xdr:nvSpPr>
      <xdr:spPr>
        <a:xfrm>
          <a:off x="13131800" y="1803400"/>
          <a:ext cx="23749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ounded Rectangle 30">
          <a:extLst>
            <a:ext uri="{FF2B5EF4-FFF2-40B4-BE49-F238E27FC236}">
              <a16:creationId xmlns:a16="http://schemas.microsoft.com/office/drawing/2014/main" id="{248A4991-0ADF-93F4-85F3-7733A73DE65C}"/>
            </a:ext>
          </a:extLst>
        </xdr:cNvPr>
        <xdr:cNvSpPr/>
      </xdr:nvSpPr>
      <xdr:spPr>
        <a:xfrm>
          <a:off x="15557500" y="1066800"/>
          <a:ext cx="31115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25</xdr:col>
      <xdr:colOff>609600</xdr:colOff>
      <xdr:row>7</xdr:row>
      <xdr:rowOff>0</xdr:rowOff>
    </xdr:to>
    <xdr:sp macro="" textlink="">
      <xdr:nvSpPr>
        <xdr:cNvPr id="32" name="Oval 31">
          <a:extLst>
            <a:ext uri="{FF2B5EF4-FFF2-40B4-BE49-F238E27FC236}">
              <a16:creationId xmlns:a16="http://schemas.microsoft.com/office/drawing/2014/main" id="{248594E1-C8A5-9235-B9B8-73FCB1793A80}"/>
            </a:ext>
          </a:extLst>
        </xdr:cNvPr>
        <xdr:cNvSpPr/>
      </xdr:nvSpPr>
      <xdr:spPr>
        <a:xfrm>
          <a:off x="15684500" y="127000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63500</xdr:colOff>
      <xdr:row>4</xdr:row>
      <xdr:rowOff>101600</xdr:rowOff>
    </xdr:from>
    <xdr:to>
      <xdr:col>29</xdr:col>
      <xdr:colOff>571500</xdr:colOff>
      <xdr:row>5</xdr:row>
      <xdr:rowOff>152400</xdr:rowOff>
    </xdr:to>
    <xdr:sp macro="" textlink="">
      <xdr:nvSpPr>
        <xdr:cNvPr id="33" name="TextBox 32">
          <a:extLst>
            <a:ext uri="{FF2B5EF4-FFF2-40B4-BE49-F238E27FC236}">
              <a16:creationId xmlns:a16="http://schemas.microsoft.com/office/drawing/2014/main" id="{C629059A-86F6-0A57-ABDA-5E64EE072399}"/>
            </a:ext>
          </a:extLst>
        </xdr:cNvPr>
        <xdr:cNvSpPr txBox="1"/>
      </xdr:nvSpPr>
      <xdr:spPr>
        <a:xfrm>
          <a:off x="16243300" y="1168400"/>
          <a:ext cx="23749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63500</xdr:colOff>
      <xdr:row>5</xdr:row>
      <xdr:rowOff>139700</xdr:rowOff>
    </xdr:from>
    <xdr:to>
      <xdr:col>29</xdr:col>
      <xdr:colOff>571500</xdr:colOff>
      <xdr:row>7</xdr:row>
      <xdr:rowOff>114300</xdr:rowOff>
    </xdr:to>
    <xdr:sp macro="" textlink="Dashboard!$AF$7">
      <xdr:nvSpPr>
        <xdr:cNvPr id="34" name="TextBox 33">
          <a:extLst>
            <a:ext uri="{FF2B5EF4-FFF2-40B4-BE49-F238E27FC236}">
              <a16:creationId xmlns:a16="http://schemas.microsoft.com/office/drawing/2014/main" id="{95E88CF5-184A-44F7-5516-FB5D238BC9A3}"/>
            </a:ext>
          </a:extLst>
        </xdr:cNvPr>
        <xdr:cNvSpPr txBox="1"/>
      </xdr:nvSpPr>
      <xdr:spPr>
        <a:xfrm>
          <a:off x="16243300" y="1435100"/>
          <a:ext cx="23749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D862EF2-A3A0-E64F-AD47-22119276880A}" type="TxLink">
            <a:rPr lang="en-US" sz="2800" b="1" i="0" u="none" strike="noStrike">
              <a:solidFill>
                <a:srgbClr val="054A19"/>
              </a:solidFill>
              <a:latin typeface="Aptos"/>
            </a:rPr>
            <a:t>44K</a:t>
          </a:fld>
          <a:endParaRPr lang="en-US" sz="2800" b="1">
            <a:solidFill>
              <a:srgbClr val="054A19"/>
            </a:solidFill>
          </a:endParaRPr>
        </a:p>
      </xdr:txBody>
    </xdr:sp>
    <xdr:clientData/>
  </xdr:twoCellAnchor>
  <xdr:twoCellAnchor>
    <xdr:from>
      <xdr:col>26</xdr:col>
      <xdr:colOff>63500</xdr:colOff>
      <xdr:row>7</xdr:row>
      <xdr:rowOff>50800</xdr:rowOff>
    </xdr:from>
    <xdr:to>
      <xdr:col>29</xdr:col>
      <xdr:colOff>571500</xdr:colOff>
      <xdr:row>7</xdr:row>
      <xdr:rowOff>215900</xdr:rowOff>
    </xdr:to>
    <xdr:sp macro="" textlink="">
      <xdr:nvSpPr>
        <xdr:cNvPr id="35" name="TextBox 34">
          <a:extLst>
            <a:ext uri="{FF2B5EF4-FFF2-40B4-BE49-F238E27FC236}">
              <a16:creationId xmlns:a16="http://schemas.microsoft.com/office/drawing/2014/main" id="{1345C2B5-0FF5-F8B3-DB41-2199F6523EBC}"/>
            </a:ext>
          </a:extLst>
        </xdr:cNvPr>
        <xdr:cNvSpPr txBox="1"/>
      </xdr:nvSpPr>
      <xdr:spPr>
        <a:xfrm>
          <a:off x="16243300" y="1803400"/>
          <a:ext cx="23749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CB83DA29-9EEE-CBFD-55BA-4E66090AD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55AE66B6-BCEE-F9E7-1021-0B88D21114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B32425EA-C5DE-D84D-AF52-157E26E5E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A6239F24-7518-7135-2C1B-5E807130D6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FFE0F6EF-7BE5-D229-E070-7FA90306CA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119743</xdr:colOff>
      <xdr:row>8</xdr:row>
      <xdr:rowOff>214086</xdr:rowOff>
    </xdr:from>
    <xdr:to>
      <xdr:col>30</xdr:col>
      <xdr:colOff>163286</xdr:colOff>
      <xdr:row>13</xdr:row>
      <xdr:rowOff>177800</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19825AAB-887F-10B3-E5FC-1A8F2094BEA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690600" y="2209800"/>
              <a:ext cx="49784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119743</xdr:colOff>
      <xdr:row>13</xdr:row>
      <xdr:rowOff>177800</xdr:rowOff>
    </xdr:from>
    <xdr:to>
      <xdr:col>30</xdr:col>
      <xdr:colOff>163286</xdr:colOff>
      <xdr:row>17</xdr:row>
      <xdr:rowOff>148771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881B3828-B2B1-7DC0-821B-B30F8B71A43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3690600" y="3352800"/>
              <a:ext cx="49784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an Daggula" refreshedDate="46199.041725925927" createdVersion="8" refreshedVersion="8" minRefreshableVersion="3" recordCount="415" xr:uid="{AE2AC2F8-6F9D-5A4A-B4BF-A67E783132CE}">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6420898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341F1D-9210-B643-8C85-16C15BA5639F}" name="PT_BudgetVsActual" cacheId="1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2" count="0"/>
        </references>
      </pivotArea>
    </format>
    <format dxfId="7">
      <pivotArea dataOnly="0" labelOnly="1" grandRow="1" outline="0" fieldPosition="0"/>
    </format>
    <format dxfId="6">
      <pivotArea dataOnly="0" labelOnly="1" outline="0" fieldPosition="0">
        <references count="1">
          <reference field="4294967294" count="2">
            <x v="0"/>
            <x v="1"/>
          </reference>
        </references>
      </pivotArea>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04A838-BA36-A648-BC0B-2F66AB2795B9}" name="PT_PaymentMethod" cacheId="1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23">
      <pivotArea type="all" dataOnly="0" outline="0" fieldPosition="0"/>
    </format>
    <format dxfId="22">
      <pivotArea outline="0" collapsedLevelsAreSubtotals="1" fieldPosition="0"/>
    </format>
    <format dxfId="21">
      <pivotArea field="6" type="button" dataOnly="0" labelOnly="1" outline="0" axis="axisRow" fieldPosition="0"/>
    </format>
    <format dxfId="20">
      <pivotArea dataOnly="0" labelOnly="1" outline="0" fieldPosition="0">
        <references count="1">
          <reference field="6"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6" type="button" dataOnly="0" labelOnly="1" outline="0" axis="axisRow" fieldPosition="0"/>
    </format>
    <format dxfId="14">
      <pivotArea dataOnly="0" labelOnly="1" outline="0" fieldPosition="0">
        <references count="1">
          <reference field="6" count="0"/>
        </references>
      </pivotArea>
    </format>
    <format dxfId="13">
      <pivotArea dataOnly="0" labelOnly="1" grandRow="1" outline="0" fieldPosition="0"/>
    </format>
    <format dxfId="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644E6E-7D82-CA4F-B2A4-EB74962F9F86}" name="PT_KPI"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31">
      <pivotArea outline="0" collapsedLevelsAreSubtotals="1" fieldPosition="0"/>
    </format>
    <format dxfId="30">
      <pivotArea outline="0" collapsedLevelsAreSubtotals="1" fieldPosition="0">
        <references count="1">
          <reference field="4294967294" count="1" selected="0">
            <x v="3"/>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4">
            <x v="0"/>
            <x v="1"/>
            <x v="2"/>
            <x v="3"/>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15B60E-0A96-114D-8165-923FCB180DB3}" name="PT_ApprovedStatus" cacheId="1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32">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7892B6-2E8A-6D48-829E-B4D27D971E1F}" name="PT_MonthlyTrend" cacheId="1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44">
      <pivotArea type="all" dataOnly="0" outline="0" fieldPosition="0"/>
    </format>
    <format dxfId="43">
      <pivotArea outline="0" collapsedLevelsAreSubtotals="1" fieldPosition="0"/>
    </format>
    <format dxfId="42">
      <pivotArea field="12" type="button" dataOnly="0" labelOnly="1" outline="0" axis="axisRow" fieldPosition="0"/>
    </format>
    <format dxfId="41">
      <pivotArea dataOnly="0" labelOnly="1" outline="0" fieldPosition="0">
        <references count="1">
          <reference field="12"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12" type="button" dataOnly="0" labelOnly="1" outline="0" axis="axisRow" fieldPosition="0"/>
    </format>
    <format dxfId="35">
      <pivotArea dataOnly="0" labelOnly="1" outline="0" fieldPosition="0">
        <references count="1">
          <reference field="12"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2140FC-2942-9740-89D7-60FF6FCD0EAD}" name="PT_ExpenseByCategory" cacheId="1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56">
      <pivotArea type="all" dataOnly="0" outline="0" fieldPosition="0"/>
    </format>
    <format dxfId="55">
      <pivotArea outline="0" collapsedLevelsAreSubtotals="1" fieldPosition="0"/>
    </format>
    <format dxfId="54">
      <pivotArea field="3" type="button" dataOnly="0" labelOnly="1" outline="0" axis="axisRow" fieldPosition="0"/>
    </format>
    <format dxfId="53">
      <pivotArea dataOnly="0" labelOnly="1" outline="0" fieldPosition="0">
        <references count="1">
          <reference field="3" count="0"/>
        </references>
      </pivotArea>
    </format>
    <format dxfId="52">
      <pivotArea dataOnly="0" labelOnly="1" grandRow="1" outline="0"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3" type="button" dataOnly="0" labelOnly="1" outline="0" axis="axisRow" fieldPosition="0"/>
    </format>
    <format dxfId="47">
      <pivotArea dataOnly="0" labelOnly="1" outline="0" fieldPosition="0">
        <references count="1">
          <reference field="3" count="0"/>
        </references>
      </pivotArea>
    </format>
    <format dxfId="46">
      <pivotArea dataOnly="0" labelOnly="1" grandRow="1" outline="0" fieldPosition="0"/>
    </format>
    <format dxfId="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4CDA22-B19B-7C4D-8F43-AD8E257BAAB3}" name="PT_ExpenseByDepartment" cacheId="13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68">
      <pivotArea type="all" dataOnly="0" outline="0" fieldPosition="0"/>
    </format>
    <format dxfId="67">
      <pivotArea outline="0" collapsedLevelsAreSubtotals="1" fieldPosition="0"/>
    </format>
    <format dxfId="66">
      <pivotArea field="2" type="button" dataOnly="0" labelOnly="1" outline="0" axis="axisRow" fieldPosition="0"/>
    </format>
    <format dxfId="65">
      <pivotArea dataOnly="0" labelOnly="1" outline="0" fieldPosition="0">
        <references count="1">
          <reference field="2"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2" type="button" dataOnly="0" labelOnly="1" outline="0" axis="axisRow" fieldPosition="0"/>
    </format>
    <format dxfId="59">
      <pivotArea dataOnly="0" labelOnly="1" outline="0" fieldPosition="0">
        <references count="1">
          <reference field="2"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EDBA95C-D626-4741-828E-4D3806DA0755}" sourceName="Month">
  <pivotTables>
    <pivotTable tabId="4" name="PT_ExpenseByDepartment"/>
    <pivotTable tabId="4" name="PT_ExpenseByCategory"/>
    <pivotTable tabId="4" name="PT_MonthlyTrend"/>
    <pivotTable tabId="4" name="PT_ApprovedStatus"/>
    <pivotTable tabId="4" name="PT_KPI"/>
    <pivotTable tabId="4" name="PT_PaymentMethod"/>
    <pivotTable tabId="4" name="PT_BudgetVsActual"/>
  </pivotTables>
  <data>
    <tabular pivotCacheId="642089892">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9BE3C71-306D-654A-A23F-A813075EE680}" sourceName="Department">
  <pivotTables>
    <pivotTable tabId="4" name="PT_ExpenseByDepartment"/>
    <pivotTable tabId="4" name="PT_ExpenseByCategory"/>
    <pivotTable tabId="4" name="PT_MonthlyTrend"/>
    <pivotTable tabId="4" name="PT_ApprovedStatus"/>
    <pivotTable tabId="4" name="PT_KPI"/>
    <pivotTable tabId="4" name="PT_PaymentMethod"/>
    <pivotTable tabId="4" name="PT_BudgetVsActual"/>
  </pivotTables>
  <data>
    <tabular pivotCacheId="642089892">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F5DC18E-9547-7948-ADD8-7AB0BFE0B1F8}" cache="Slicer_Month" caption="Month" columnCount="4" style="SlicerStyleLight6" rowHeight="230716"/>
  <slicer name="Department" xr10:uid="{1C6ABEB8-E958-E44F-A70D-5F895651C989}" cache="Slicer_Department" caption="Department" columnCount="6" style="SlicerStyleLight6"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A2114D-B556-D944-9A9D-E0D2AB53FA87}" name="tblExpenses" displayName="tblExpenses" ref="A1:M416" totalsRowShown="0" headerRowDxfId="69">
  <autoFilter ref="A1:M416" xr:uid="{39A2114D-B556-D944-9A9D-E0D2AB53FA87}"/>
  <tableColumns count="13">
    <tableColumn id="1" xr3:uid="{86162570-8D07-FD47-9C90-BE66CC8A4247}" name="Expense ID"/>
    <tableColumn id="2" xr3:uid="{905AF7E9-41C2-9A4D-9B58-FF95CB69BC62}" name="Date" dataDxfId="73"/>
    <tableColumn id="3" xr3:uid="{38E453EE-701C-B54D-9941-906CF3440464}" name="Department"/>
    <tableColumn id="4" xr3:uid="{0F97983C-4286-8941-B60D-33E19F676DAF}" name="Category"/>
    <tableColumn id="5" xr3:uid="{FF008B0D-A1B7-9644-8C41-70CF57D7E933}" name="Description"/>
    <tableColumn id="6" xr3:uid="{A489A1A9-8763-0C41-BC5C-49673389133F}" name="Amount (INR)" dataDxfId="72"/>
    <tableColumn id="7" xr3:uid="{B69315DC-070F-D546-A0B4-10C67BC098E6}" name="Payment Method"/>
    <tableColumn id="8" xr3:uid="{A3E42201-797C-294C-83D2-19259501D92A}" name="Approved"/>
    <tableColumn id="9" xr3:uid="{5169F536-12D2-004F-B46E-6669D6884B82}" name="Budget Allocated" dataDxfId="71"/>
    <tableColumn id="10" xr3:uid="{0E7BC0D0-3D04-CB4F-83F7-467A434213D6}" name="Budget Remaining" dataDxfId="70"/>
    <tableColumn id="11" xr3:uid="{B3AF84BA-7873-F343-B5E2-4350DCEF6779}" name="Vendor Name"/>
    <tableColumn id="12" xr3:uid="{03D1A3B8-F409-ED49-AB0D-A229C9B3310B}" name="Invoice Number"/>
    <tableColumn id="13" xr3:uid="{C200281F-C3DF-2E44-9921-99DCEDAF04B1}"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F5D98-9A3A-C846-B4A9-B95702302F0F}">
  <sheetPr codeName="Sheet5">
    <pageSetUpPr fitToPage="1"/>
  </sheetPr>
  <dimension ref="A1:AF29"/>
  <sheetViews>
    <sheetView showGridLines="0" tabSelected="1" zoomScale="70" zoomScaleNormal="70" workbookViewId="0"/>
  </sheetViews>
  <sheetFormatPr baseColWidth="10" defaultRowHeight="14" x14ac:dyDescent="0.2"/>
  <cols>
    <col min="1" max="30" width="8.1640625" style="11" customWidth="1"/>
    <col min="31" max="31" width="10.83203125" style="11"/>
    <col min="32" max="33" width="0" style="11" hidden="1" customWidth="1"/>
    <col min="34" max="16384" width="10.83203125" style="11"/>
  </cols>
  <sheetData>
    <row r="1" spans="1:32" ht="22" customHeight="1" x14ac:dyDescent="0.2">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 customHeight="1" x14ac:dyDescent="0.2">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18405183</v>
      </c>
    </row>
    <row r="3" spans="1:32" ht="22" customHeight="1" x14ac:dyDescent="0.2">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22953950</v>
      </c>
    </row>
    <row r="4" spans="1:32" ht="18" customHeight="1" x14ac:dyDescent="0.2">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4548767</v>
      </c>
    </row>
    <row r="5" spans="1:32" ht="18" customHeight="1" x14ac:dyDescent="0.2">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415</v>
      </c>
    </row>
    <row r="6" spans="1:32" ht="18" customHeight="1" x14ac:dyDescent="0.2">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0.81445783132530125</v>
      </c>
    </row>
    <row r="7" spans="1:32" ht="18" customHeight="1" x14ac:dyDescent="0.2">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44349.838554216869</v>
      </c>
    </row>
    <row r="8" spans="1:32" ht="18" customHeight="1" x14ac:dyDescent="0.2">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2">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2">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2">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2">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2">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2">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2">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2">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2">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2">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2">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2">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2">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2">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2">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Q5" sqref="Q5"/>
    </sheetView>
  </sheetViews>
  <sheetFormatPr baseColWidth="10" defaultColWidth="8.83203125" defaultRowHeight="15" x14ac:dyDescent="0.2"/>
  <cols>
    <col min="1" max="1" width="12.33203125" bestFit="1" customWidth="1"/>
    <col min="2" max="2" width="11.1640625" bestFit="1" customWidth="1"/>
    <col min="3" max="3" width="13.1640625" bestFit="1" customWidth="1"/>
    <col min="4" max="4" width="12.1640625" bestFit="1" customWidth="1"/>
    <col min="5" max="5" width="28.6640625" bestFit="1" customWidth="1"/>
    <col min="6" max="6" width="13.83203125" bestFit="1" customWidth="1"/>
    <col min="7" max="7" width="16.83203125" bestFit="1" customWidth="1"/>
    <col min="8" max="8" width="11.1640625" bestFit="1" customWidth="1"/>
    <col min="9" max="9" width="16.83203125" bestFit="1" customWidth="1"/>
    <col min="10" max="10" width="17.6640625" bestFit="1" customWidth="1"/>
    <col min="11" max="11" width="16.6640625" bestFit="1" customWidth="1"/>
    <col min="12" max="12" width="16" bestFit="1" customWidth="1"/>
    <col min="13" max="13" width="8.6640625" bestFit="1" customWidth="1"/>
  </cols>
  <sheetData>
    <row r="1" spans="1:13" s="3" customFormat="1" x14ac:dyDescent="0.2">
      <c r="A1" s="3" t="s">
        <v>0</v>
      </c>
      <c r="B1" s="3" t="s">
        <v>1</v>
      </c>
      <c r="C1" s="3" t="s">
        <v>2</v>
      </c>
      <c r="D1" s="3" t="s">
        <v>3</v>
      </c>
      <c r="E1" s="3" t="s">
        <v>4</v>
      </c>
      <c r="F1" s="3" t="s">
        <v>5</v>
      </c>
      <c r="G1" s="3" t="s">
        <v>6</v>
      </c>
      <c r="H1" s="3" t="s">
        <v>7</v>
      </c>
      <c r="I1" s="3" t="s">
        <v>8</v>
      </c>
      <c r="J1" s="3" t="s">
        <v>9</v>
      </c>
      <c r="K1" s="3" t="s">
        <v>10</v>
      </c>
      <c r="L1" s="3" t="s">
        <v>11</v>
      </c>
      <c r="M1" s="3" t="s">
        <v>918</v>
      </c>
    </row>
    <row r="2" spans="1:13" x14ac:dyDescent="0.2">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2">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2">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2">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2">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2">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2">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2">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2">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2">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2">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2">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2">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2">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2">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2">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2">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2">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2">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2">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2">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2">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2">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2">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2">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2">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2">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2">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2">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2">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2">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2">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2">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2">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2">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2">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2">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2">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2">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2">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2">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2">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2">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2">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2">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2">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2">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2">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2">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2">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2">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2">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2">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2">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2">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2">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2">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2">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2">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2">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2">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2">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2">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2">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2">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2">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2">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2">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2">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2">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2">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2">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2">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2">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2">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2">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2">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2">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2">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2">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2">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2">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2">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2">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2">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2">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2">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2">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2">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2">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2">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2">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2">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2">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2">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2">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2">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2">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2">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2">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2">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2">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2">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2">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2">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2">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2">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2">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2">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2">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2">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2">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2">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2">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2">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2">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2">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2">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2">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2">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2">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2">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2">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2">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2">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2">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2">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2">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2">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2">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2">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2">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2">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2">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2">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2">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2">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2">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2">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2">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2">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2">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2">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2">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2">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2">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2">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2">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2">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2">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2">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2">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2">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2">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2">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2">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2">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2">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2">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2">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2">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2">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2">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2">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2">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2">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2">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2">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2">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2">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2">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2">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2">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2">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2">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2">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2">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2">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2">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2">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2">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2">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2">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2">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2">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2">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2">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2">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2">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2">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2">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2">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2">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2">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2">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2">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2">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2">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2">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2">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2">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2">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2">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2">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2">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2">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2">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2">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2">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2">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2">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2">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2">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2">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2">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2">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2">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2">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2">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2">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2">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2">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2">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2">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2">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2">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2">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2">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2">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2">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2">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2">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2">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2">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2">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2">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2">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2">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2">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2">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2">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2">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2">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2">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2">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2">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2">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2">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2">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2">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2">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2">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2">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2">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2">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2">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2">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2">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2">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2">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2">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2">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2">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2">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2">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2">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2">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2">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2">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2">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2">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2">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2">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2">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2">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2">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2">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2">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2">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2">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2">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2">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2">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2">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2">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2">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2">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2">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2">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2">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2">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2">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2">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2">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2">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2">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2">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2">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2">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2">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2">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2">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2">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2">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2">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2">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2">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2">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2">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2">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2">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2">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2">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2">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2">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2">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2">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2">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2">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2">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2">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2">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2">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2">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2">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2">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2">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2">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2">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2">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2">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2">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2">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2">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2">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2">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2">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2">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2">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2">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2">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2">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2">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2">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2">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2">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2">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2">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2">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2">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2">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2">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2">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2">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2">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2">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2">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2">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2">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2">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2">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2">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2">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2">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2">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2">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2">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2">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2">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2">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2">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2">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2">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2">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2">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2">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2">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2">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2">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2">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2">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2">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2">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2">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2">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2">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2">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2">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2">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2">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2">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2">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2">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2">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2">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2">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2">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2">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2">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2">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2">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2">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2">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2">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2">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2">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2">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2">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2">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2">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2">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2">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2">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2">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2">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B0B04-068F-8E4E-B2BA-4038D6E8C14B}">
  <sheetPr codeName="Sheet4"/>
  <dimension ref="A3:P62"/>
  <sheetViews>
    <sheetView workbookViewId="0"/>
  </sheetViews>
  <sheetFormatPr baseColWidth="10" defaultRowHeight="15" x14ac:dyDescent="0.2"/>
  <cols>
    <col min="1" max="1" width="13.33203125" bestFit="1" customWidth="1"/>
    <col min="2" max="2" width="17.1640625" bestFit="1" customWidth="1"/>
    <col min="4" max="4" width="12.1640625" bestFit="1" customWidth="1"/>
    <col min="5" max="5" width="17.1640625" bestFit="1" customWidth="1"/>
    <col min="6" max="6" width="20.33203125" bestFit="1" customWidth="1"/>
    <col min="7" max="7" width="10.33203125" bestFit="1" customWidth="1"/>
    <col min="8" max="8" width="17.1640625" bestFit="1" customWidth="1"/>
    <col min="10" max="10" width="11.1640625" bestFit="1" customWidth="1"/>
    <col min="11" max="11" width="17.1640625" bestFit="1" customWidth="1"/>
    <col min="12" max="12" width="17" bestFit="1" customWidth="1"/>
    <col min="13" max="13" width="17.1640625" bestFit="1" customWidth="1"/>
    <col min="14" max="14" width="20.33203125" bestFit="1" customWidth="1"/>
    <col min="15" max="15" width="21.1640625" bestFit="1" customWidth="1"/>
    <col min="16" max="16" width="17" bestFit="1" customWidth="1"/>
  </cols>
  <sheetData>
    <row r="3" spans="1:16" x14ac:dyDescent="0.2">
      <c r="A3" s="5" t="s">
        <v>2</v>
      </c>
      <c r="B3" s="6" t="s">
        <v>920</v>
      </c>
      <c r="D3" s="5" t="s">
        <v>3</v>
      </c>
      <c r="E3" s="6" t="s">
        <v>920</v>
      </c>
      <c r="G3" s="5" t="s">
        <v>918</v>
      </c>
      <c r="H3" s="6" t="s">
        <v>920</v>
      </c>
      <c r="J3" s="4" t="s">
        <v>7</v>
      </c>
      <c r="K3" t="s">
        <v>920</v>
      </c>
      <c r="L3" t="s">
        <v>933</v>
      </c>
      <c r="M3" s="6" t="s">
        <v>920</v>
      </c>
      <c r="N3" s="6" t="s">
        <v>934</v>
      </c>
      <c r="O3" s="6" t="s">
        <v>935</v>
      </c>
      <c r="P3" s="6" t="s">
        <v>933</v>
      </c>
    </row>
    <row r="4" spans="1:16" x14ac:dyDescent="0.2">
      <c r="A4" s="6" t="s">
        <v>13</v>
      </c>
      <c r="B4" s="7">
        <v>3366315</v>
      </c>
      <c r="D4" s="6" t="s">
        <v>31</v>
      </c>
      <c r="E4" s="7">
        <v>6030171</v>
      </c>
      <c r="G4" s="6" t="s">
        <v>921</v>
      </c>
      <c r="H4" s="7">
        <v>1379978</v>
      </c>
      <c r="J4" t="s">
        <v>43</v>
      </c>
      <c r="K4" s="2">
        <v>3628179</v>
      </c>
      <c r="L4" s="9">
        <v>77</v>
      </c>
      <c r="M4" s="7">
        <v>18405183</v>
      </c>
      <c r="N4" s="7">
        <v>22953950</v>
      </c>
      <c r="O4" s="7">
        <v>4548767</v>
      </c>
      <c r="P4" s="10">
        <v>415</v>
      </c>
    </row>
    <row r="5" spans="1:16" x14ac:dyDescent="0.2">
      <c r="A5" s="6" t="s">
        <v>92</v>
      </c>
      <c r="B5" s="7">
        <v>2611075</v>
      </c>
      <c r="D5" s="6" t="s">
        <v>36</v>
      </c>
      <c r="E5" s="7">
        <v>3671418</v>
      </c>
      <c r="G5" s="6" t="s">
        <v>922</v>
      </c>
      <c r="H5" s="7">
        <v>1058599</v>
      </c>
      <c r="J5" t="s">
        <v>17</v>
      </c>
      <c r="K5" s="2">
        <v>14777004</v>
      </c>
      <c r="L5" s="9">
        <v>338</v>
      </c>
    </row>
    <row r="6" spans="1:16" x14ac:dyDescent="0.2">
      <c r="A6" s="6" t="s">
        <v>72</v>
      </c>
      <c r="B6" s="7">
        <v>3616924</v>
      </c>
      <c r="D6" s="6" t="s">
        <v>21</v>
      </c>
      <c r="E6" s="7">
        <v>3505155</v>
      </c>
      <c r="G6" s="6" t="s">
        <v>923</v>
      </c>
      <c r="H6" s="7">
        <v>1179601</v>
      </c>
      <c r="J6" t="s">
        <v>919</v>
      </c>
      <c r="K6" s="2">
        <v>18405183</v>
      </c>
      <c r="L6" s="8">
        <v>415</v>
      </c>
    </row>
    <row r="7" spans="1:16" x14ac:dyDescent="0.2">
      <c r="A7" s="6" t="s">
        <v>21</v>
      </c>
      <c r="B7" s="7">
        <v>3010276</v>
      </c>
      <c r="D7" s="6" t="s">
        <v>26</v>
      </c>
      <c r="E7" s="7">
        <v>208093</v>
      </c>
      <c r="G7" s="6" t="s">
        <v>924</v>
      </c>
      <c r="H7" s="7">
        <v>1317668</v>
      </c>
    </row>
    <row r="8" spans="1:16" x14ac:dyDescent="0.2">
      <c r="A8" s="6" t="s">
        <v>114</v>
      </c>
      <c r="B8" s="7">
        <v>3346621</v>
      </c>
      <c r="D8" s="6" t="s">
        <v>14</v>
      </c>
      <c r="E8" s="7">
        <v>1743238</v>
      </c>
      <c r="G8" s="6" t="s">
        <v>925</v>
      </c>
      <c r="H8" s="7">
        <v>1780658</v>
      </c>
    </row>
    <row r="9" spans="1:16" x14ac:dyDescent="0.2">
      <c r="A9" s="6" t="s">
        <v>46</v>
      </c>
      <c r="B9" s="7">
        <v>2453972</v>
      </c>
      <c r="D9" s="6" t="s">
        <v>132</v>
      </c>
      <c r="E9" s="7">
        <v>772840</v>
      </c>
      <c r="G9" s="6" t="s">
        <v>926</v>
      </c>
      <c r="H9" s="7">
        <v>1286080</v>
      </c>
    </row>
    <row r="10" spans="1:16" x14ac:dyDescent="0.2">
      <c r="A10" s="6" t="s">
        <v>919</v>
      </c>
      <c r="B10" s="7">
        <v>18405183</v>
      </c>
      <c r="D10" s="6" t="s">
        <v>58</v>
      </c>
      <c r="E10" s="7">
        <v>2023948</v>
      </c>
      <c r="G10" s="6" t="s">
        <v>927</v>
      </c>
      <c r="H10" s="7">
        <v>2119404</v>
      </c>
    </row>
    <row r="11" spans="1:16" x14ac:dyDescent="0.2">
      <c r="D11" s="6" t="s">
        <v>54</v>
      </c>
      <c r="E11" s="7">
        <v>450320</v>
      </c>
      <c r="G11" s="6" t="s">
        <v>928</v>
      </c>
      <c r="H11" s="7">
        <v>1669539</v>
      </c>
    </row>
    <row r="12" spans="1:16" x14ac:dyDescent="0.2">
      <c r="D12" s="6" t="s">
        <v>919</v>
      </c>
      <c r="E12" s="7">
        <v>18405183</v>
      </c>
      <c r="G12" s="6" t="s">
        <v>929</v>
      </c>
      <c r="H12" s="7">
        <v>1913484</v>
      </c>
    </row>
    <row r="13" spans="1:16" x14ac:dyDescent="0.2">
      <c r="G13" s="6" t="s">
        <v>930</v>
      </c>
      <c r="H13" s="7">
        <v>1365637</v>
      </c>
    </row>
    <row r="14" spans="1:16" x14ac:dyDescent="0.2">
      <c r="G14" s="6" t="s">
        <v>931</v>
      </c>
      <c r="H14" s="7">
        <v>1795988</v>
      </c>
    </row>
    <row r="15" spans="1:16" x14ac:dyDescent="0.2">
      <c r="G15" s="6" t="s">
        <v>932</v>
      </c>
      <c r="H15" s="7">
        <v>1538547</v>
      </c>
    </row>
    <row r="16" spans="1:16" x14ac:dyDescent="0.2">
      <c r="G16" s="6" t="s">
        <v>919</v>
      </c>
      <c r="H16" s="7">
        <v>18405183</v>
      </c>
    </row>
    <row r="25" spans="1:6" x14ac:dyDescent="0.2">
      <c r="A25" s="5" t="s">
        <v>6</v>
      </c>
      <c r="B25" s="6" t="s">
        <v>920</v>
      </c>
      <c r="D25" s="5" t="s">
        <v>2</v>
      </c>
      <c r="E25" s="6" t="s">
        <v>936</v>
      </c>
      <c r="F25" s="6" t="s">
        <v>934</v>
      </c>
    </row>
    <row r="26" spans="1:6" x14ac:dyDescent="0.2">
      <c r="A26" s="6" t="s">
        <v>51</v>
      </c>
      <c r="B26" s="7">
        <v>4908988</v>
      </c>
      <c r="D26" s="6" t="s">
        <v>13</v>
      </c>
      <c r="E26" s="7">
        <v>3366315</v>
      </c>
      <c r="F26" s="7">
        <v>4162201</v>
      </c>
    </row>
    <row r="27" spans="1:6" x14ac:dyDescent="0.2">
      <c r="A27" s="6" t="s">
        <v>16</v>
      </c>
      <c r="B27" s="7">
        <v>4388835</v>
      </c>
      <c r="D27" s="6" t="s">
        <v>92</v>
      </c>
      <c r="E27" s="7">
        <v>2611075</v>
      </c>
      <c r="F27" s="7">
        <v>3159110</v>
      </c>
    </row>
    <row r="28" spans="1:6" x14ac:dyDescent="0.2">
      <c r="A28" s="6" t="s">
        <v>38</v>
      </c>
      <c r="B28" s="7">
        <v>5477461</v>
      </c>
      <c r="D28" s="6" t="s">
        <v>72</v>
      </c>
      <c r="E28" s="7">
        <v>3616924</v>
      </c>
      <c r="F28" s="7">
        <v>4425089</v>
      </c>
    </row>
    <row r="29" spans="1:6" x14ac:dyDescent="0.2">
      <c r="A29" s="6" t="s">
        <v>23</v>
      </c>
      <c r="B29" s="7">
        <v>3629899</v>
      </c>
      <c r="D29" s="6" t="s">
        <v>21</v>
      </c>
      <c r="E29" s="7">
        <v>3010276</v>
      </c>
      <c r="F29" s="7">
        <v>3898633</v>
      </c>
    </row>
    <row r="30" spans="1:6" x14ac:dyDescent="0.2">
      <c r="A30" s="6" t="s">
        <v>919</v>
      </c>
      <c r="B30" s="7">
        <v>18405183</v>
      </c>
      <c r="D30" s="6" t="s">
        <v>114</v>
      </c>
      <c r="E30" s="7">
        <v>3346621</v>
      </c>
      <c r="F30" s="7">
        <v>4160632</v>
      </c>
    </row>
    <row r="31" spans="1:6" x14ac:dyDescent="0.2">
      <c r="D31" s="6" t="s">
        <v>46</v>
      </c>
      <c r="E31" s="7">
        <v>2453972</v>
      </c>
      <c r="F31" s="7">
        <v>3148285</v>
      </c>
    </row>
    <row r="32" spans="1:6" x14ac:dyDescent="0.2">
      <c r="D32" s="6" t="s">
        <v>919</v>
      </c>
      <c r="E32" s="7">
        <v>18405183</v>
      </c>
      <c r="F32" s="7">
        <v>22953950</v>
      </c>
    </row>
    <row r="50" spans="1:15" x14ac:dyDescent="0.2">
      <c r="A50" t="s">
        <v>2</v>
      </c>
      <c r="B50" t="s">
        <v>937</v>
      </c>
      <c r="D50" t="s">
        <v>3</v>
      </c>
      <c r="E50" t="s">
        <v>937</v>
      </c>
      <c r="G50" t="s">
        <v>918</v>
      </c>
      <c r="H50" t="s">
        <v>937</v>
      </c>
      <c r="J50" t="s">
        <v>6</v>
      </c>
      <c r="K50" t="s">
        <v>937</v>
      </c>
      <c r="M50" t="s">
        <v>2</v>
      </c>
      <c r="N50" t="s">
        <v>936</v>
      </c>
      <c r="O50" t="s">
        <v>8</v>
      </c>
    </row>
    <row r="51" spans="1:15" x14ac:dyDescent="0.2">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Pivot!$D$26</f>
        <v>Engineering</v>
      </c>
      <c r="N51" s="2">
        <f>Pivot!$E$26</f>
        <v>3366315</v>
      </c>
      <c r="O51" s="2">
        <f>Pivot!$F$26</f>
        <v>4162201</v>
      </c>
    </row>
    <row r="52" spans="1:15" x14ac:dyDescent="0.2">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Pivot!$D$27</f>
        <v>Finance</v>
      </c>
      <c r="N52" s="2">
        <f>Pivot!$E$27</f>
        <v>2611075</v>
      </c>
      <c r="O52" s="2">
        <f>Pivot!$F$27</f>
        <v>3159110</v>
      </c>
    </row>
    <row r="53" spans="1:15" x14ac:dyDescent="0.2">
      <c r="A53" t="str">
        <f>Pivot!$A$6</f>
        <v>HR</v>
      </c>
      <c r="B53" s="2">
        <f>Pivot!$B$6</f>
        <v>3616924</v>
      </c>
      <c r="D53" t="str">
        <f>Pivot!$D$6</f>
        <v>Marketing</v>
      </c>
      <c r="E53" s="2">
        <f>Pivot!$E$6</f>
        <v>3505155</v>
      </c>
      <c r="G53" t="str">
        <f>Pivot!$G$6</f>
        <v>Mar</v>
      </c>
      <c r="H53" s="2">
        <f>Pivot!$H$6</f>
        <v>1179601</v>
      </c>
      <c r="J53" t="str">
        <f>Pivot!$A$28</f>
        <v>Cheque</v>
      </c>
      <c r="K53" s="2">
        <f>Pivot!$B$28</f>
        <v>5477461</v>
      </c>
      <c r="M53" t="str">
        <f>Pivot!$D$28</f>
        <v>HR</v>
      </c>
      <c r="N53" s="2">
        <f>Pivot!$E$28</f>
        <v>3616924</v>
      </c>
      <c r="O53" s="2">
        <f>Pivot!$F$28</f>
        <v>4425089</v>
      </c>
    </row>
    <row r="54" spans="1:15" x14ac:dyDescent="0.2">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Pivot!$D$29</f>
        <v>Marketing</v>
      </c>
      <c r="N54" s="2">
        <f>Pivot!$E$29</f>
        <v>3010276</v>
      </c>
      <c r="O54" s="2">
        <f>Pivot!$F$29</f>
        <v>3898633</v>
      </c>
    </row>
    <row r="55" spans="1:15" x14ac:dyDescent="0.2">
      <c r="A55" t="str">
        <f>Pivot!$A$8</f>
        <v>Operations</v>
      </c>
      <c r="B55" s="2">
        <f>Pivot!$B$8</f>
        <v>3346621</v>
      </c>
      <c r="D55" t="str">
        <f>Pivot!$D$8</f>
        <v>Software</v>
      </c>
      <c r="E55" s="2">
        <f>Pivot!$E$8</f>
        <v>1743238</v>
      </c>
      <c r="G55" t="str">
        <f>Pivot!$G$8</f>
        <v>May</v>
      </c>
      <c r="H55" s="2">
        <f>Pivot!$H$8</f>
        <v>1780658</v>
      </c>
      <c r="M55" t="str">
        <f>Pivot!$D$30</f>
        <v>Operations</v>
      </c>
      <c r="N55" s="2">
        <f>Pivot!$E$30</f>
        <v>3346621</v>
      </c>
      <c r="O55" s="2">
        <f>Pivot!$F$30</f>
        <v>4160632</v>
      </c>
    </row>
    <row r="56" spans="1:15" x14ac:dyDescent="0.2">
      <c r="A56" t="str">
        <f>Pivot!$A$9</f>
        <v>Sales</v>
      </c>
      <c r="B56" s="2">
        <f>Pivot!$B$9</f>
        <v>2453972</v>
      </c>
      <c r="D56" t="str">
        <f>Pivot!$D$9</f>
        <v>Training</v>
      </c>
      <c r="E56" s="2">
        <f>Pivot!$E$9</f>
        <v>772840</v>
      </c>
      <c r="G56" t="str">
        <f>Pivot!$G$9</f>
        <v>Jun</v>
      </c>
      <c r="H56" s="2">
        <f>Pivot!$H$9</f>
        <v>1286080</v>
      </c>
      <c r="M56" t="str">
        <f>Pivot!$D$31</f>
        <v>Sales</v>
      </c>
      <c r="N56" s="2">
        <f>Pivot!$E$31</f>
        <v>2453972</v>
      </c>
      <c r="O56" s="2">
        <f>Pivot!$F$31</f>
        <v>3148285</v>
      </c>
    </row>
    <row r="57" spans="1:15" x14ac:dyDescent="0.2">
      <c r="D57" t="str">
        <f>Pivot!$D$10</f>
        <v>Travel</v>
      </c>
      <c r="E57" s="2">
        <f>Pivot!$E$10</f>
        <v>2023948</v>
      </c>
      <c r="G57" t="str">
        <f>Pivot!$G$10</f>
        <v>Jul</v>
      </c>
      <c r="H57" s="2">
        <f>Pivot!$H$10</f>
        <v>2119404</v>
      </c>
    </row>
    <row r="58" spans="1:15" x14ac:dyDescent="0.2">
      <c r="D58" t="str">
        <f>Pivot!$D$11</f>
        <v>Utilities</v>
      </c>
      <c r="E58" s="2">
        <f>Pivot!$E$11</f>
        <v>450320</v>
      </c>
      <c r="G58" t="str">
        <f>Pivot!$G$11</f>
        <v>Aug</v>
      </c>
      <c r="H58" s="2">
        <f>Pivot!$H$11</f>
        <v>1669539</v>
      </c>
    </row>
    <row r="59" spans="1:15" x14ac:dyDescent="0.2">
      <c r="G59" t="str">
        <f>Pivot!$G$12</f>
        <v>Sep</v>
      </c>
      <c r="H59" s="2">
        <f>Pivot!$H$12</f>
        <v>1913484</v>
      </c>
    </row>
    <row r="60" spans="1:15" x14ac:dyDescent="0.2">
      <c r="G60" t="str">
        <f>Pivot!$G$13</f>
        <v>Oct</v>
      </c>
      <c r="H60" s="2">
        <f>Pivot!$H$13</f>
        <v>1365637</v>
      </c>
    </row>
    <row r="61" spans="1:15" x14ac:dyDescent="0.2">
      <c r="G61" t="str">
        <f>Pivot!$G$14</f>
        <v>Nov</v>
      </c>
      <c r="H61" s="2">
        <f>Pivot!$H$14</f>
        <v>1795988</v>
      </c>
    </row>
    <row r="62" spans="1:15" x14ac:dyDescent="0.2">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SAI VENKATA RAMI REDDY DAGGULA (RA2411026011330)</cp:lastModifiedBy>
  <dcterms:created xsi:type="dcterms:W3CDTF">2026-05-19T08:07:04Z</dcterms:created>
  <dcterms:modified xsi:type="dcterms:W3CDTF">2026-06-25T19:30:25Z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